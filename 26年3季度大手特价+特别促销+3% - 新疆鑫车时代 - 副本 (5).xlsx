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<sst xmlns="http://schemas.openxmlformats.org/spreadsheetml/2006/main" count="139" uniqueCount="120">
  <si>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</si>
  <si>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</si>
  <si>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</si>
  <si>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</si>
  <si>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</si>
  <si>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</si>
  <si>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</si>
  <si>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</si>
  <si>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</si>
  <si>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</si>
  <si>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</si>
  <si>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</si>
  <si>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</si>
  <si>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</si>
  <si>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</si>
  <si>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</si>
  <si>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</si>
  <si>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</si>
  <si>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</si>
  <si>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</si>
  <si>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</si>
  <si>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</si>
  <si>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</si>
  <si>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</si>
  <si>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</si>
  <si>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</si>
  <si>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</si>
  <si>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</si>
  <si>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</si>
  <si>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</si>
  <si>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</si>
  <si>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</si>
  <si>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</si>
  <si>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</si>
  <si>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</si>
  <si>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</si>
  <si>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</si>
  <si>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</si>
  <si>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</si>
  <si>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</si>
  <si>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</si>
  <si>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</si>
  <si>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</si>
  <si>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</si>
  <si>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</si>
  <si>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</si>
  <si>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</si>
  <si>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</si>
  <si>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</si>
  <si>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</si>
  <si>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</si>
  <si>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</si>
  <si>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</si>
  <si>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</si>
  <si>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</si>
  <si>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</si>
  <si>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</si>
  <si>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</si>
  <si>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</si>
  <si>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</si>
  <si>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</si>
  <si>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</si>
  <si>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</si>
  <si>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</si>
  <si>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</si>
  <si>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</si>
  <si>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</si>
  <si>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</si>
  <si>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</si>
  <si>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</si>
  <si>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</si>
  <si>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</si>
  <si>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</si>
  <si>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</si>
  <si>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</si>
  <si>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</si>
  <si>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</si>
  <si>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</si>
  <si>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</si>
  <si>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</si>
  <si>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</si>
  <si>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</si>
  <si>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</si>
  <si>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</si>
  <si>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</si>
  <si>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</si>
  <si>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</si>
  <si>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</si>
  <si>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</si>
  <si>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</si>
  <si>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</si>
  <si>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</si>
  <si>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</si>
  <si>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</si>
  <si>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</si>
  <si>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</si>
  <si>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</si>
  <si>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</si>
  <si>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</si>
  <si>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</si>
  <si>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</si>
  <si>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</si>
  <si>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</si>
  <si>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</si>
  <si>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</si>
  <si>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</si>
  <si>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</si>
  <si>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</si>
  <si>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</si>
  <si>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</si>
  <si>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</si>
  <si>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</si>
  <si>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</si>
  <si>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</si>
  <si>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</si>
  <si>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</si>
  <si>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</si>
  <si>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</si>
  <si>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</si>
  <si>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charset val="134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</si>
</sst>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#,##0.0_ "/>
  </numFmts>
  <fonts count="40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charset val="134"/>
    </font>
    <font>
      <sz val="20"/>
      <color theme="1"/>
      <name val="微软雅黑"/>
      <charset val="134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MS PGothic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color theme="1"/>
      <name val="MS PGothic"/>
      <charset val="134"/>
    </font>
    <font>
      <b/>
      <sz val="20"/>
      <color rgb="FF00B050"/>
      <name val="MS PGothic"/>
      <charset val="134"/>
    </font>
    <font>
      <b/>
      <sz val="20"/>
      <color theme="8" tint="-0.249977111117893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b/>
      <sz val="18"/>
      <color rgb="FFFF0000"/>
      <name val="微软雅黑"/>
      <charset val="134"/>
    </font>
    <font>
      <b/>
      <sz val="18"/>
      <color theme="1"/>
      <name val="宋体"/>
      <charset val="134"/>
    </font>
    <font>
      <b/>
      <sz val="28"/>
      <color rgb="FFFF0000"/>
      <name val="微软雅黑"/>
      <charset val="134"/>
    </font>
    <font>
      <sz val="18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6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1" applyNumberFormat="0" applyAlignment="0" applyProtection="0">
      <alignment vertical="center"/>
    </xf>
    <xf numFmtId="0" fontId="25" fillId="7" borderId="62" applyNumberFormat="0" applyAlignment="0" applyProtection="0">
      <alignment vertical="center"/>
    </xf>
    <xf numFmtId="0" fontId="26" fillId="7" borderId="61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7" fontId="5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right" vertical="center" shrinkToFit="1"/>
    </xf>
    <xf numFmtId="0" fontId="6" fillId="2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19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177" fontId="10" fillId="0" borderId="24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29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7" fontId="10" fillId="0" borderId="32" xfId="0" applyNumberFormat="1" applyFont="1" applyBorder="1" applyAlignment="1">
      <alignment horizontal="center" vertical="center" wrapText="1"/>
    </xf>
    <xf numFmtId="177" fontId="10" fillId="0" borderId="3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7" fontId="10" fillId="0" borderId="36" xfId="0" applyNumberFormat="1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177" fontId="10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7" fontId="10" fillId="0" borderId="44" xfId="0" applyNumberFormat="1" applyFont="1" applyBorder="1" applyAlignment="1">
      <alignment horizontal="center" vertical="center" wrapText="1"/>
    </xf>
    <xf numFmtId="177" fontId="10" fillId="0" borderId="4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7" fontId="10" fillId="0" borderId="15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2" fontId="2" fillId="0" borderId="18" xfId="0" applyNumberFormat="1" applyFont="1" applyBorder="1" applyAlignment="1">
      <alignment horizontal="center" vertical="center" wrapText="1"/>
    </xf>
    <xf numFmtId="179" fontId="10" fillId="0" borderId="19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9" fontId="10" fillId="0" borderId="24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 wrapText="1"/>
    </xf>
    <xf numFmtId="179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18" xfId="0" applyFont="1" applyBorder="1" applyAlignment="1" quotePrefix="1">
      <alignment vertical="center" shrinkToFit="1"/>
    </xf>
    <xf numFmtId="0" fontId="1" fillId="0" borderId="23" xfId="0" applyFont="1" applyBorder="1" applyAlignment="1" quotePrefix="1">
      <alignment vertical="center" shrinkToFit="1"/>
    </xf>
    <xf numFmtId="0" fontId="1" fillId="0" borderId="28" xfId="0" applyFont="1" applyBorder="1" applyAlignment="1" quotePrefix="1">
      <alignment vertical="center" shrinkToFi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千位分隔 2" xfId="50"/>
    <cellStyle name="千位分隔 2 2" xfId="51"/>
    <cellStyle name="千位分隔 2 2 2" xfId="52"/>
    <cellStyle name="千位分隔 2 3" xfId="53"/>
    <cellStyle name="千位分隔 3" xfId="54"/>
    <cellStyle name="千位分隔 3 2" xfId="55"/>
    <cellStyle name="千位分隔 4" xfId="56"/>
  </cellStyles>
  <tableStyles count="0" defaultTableStyle="TableStyleMedium2" defaultPivotStyle="PivotStyleLight16"/>
  <colors>
    <mruColors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  <pageSetUpPr fitToPage="1"/>
  </sheetPr>
  <dimension ref="B1:K53"/>
  <sheetViews>
    <sheetView showGridLines="0" tabSelected="1" zoomScale="50" zoomScaleNormal="50" zoomScalePageLayoutView="40" zoomScaleSheetLayoutView="50" workbookViewId="0">
      <pane ySplit="10" topLeftCell="A38" activePane="bottomLeft" state="frozen"/>
      <selection/>
      <selection pane="bottomLeft" activeCell="I46" sqref="I46"/>
    </sheetView>
  </sheetViews>
  <sheetFormatPr defaultColWidth="9" defaultRowHeight="21"/>
  <cols>
    <col min="1" max="1" width="14.6018518518519" style="3" customWidth="1"/>
    <col min="2" max="2" width="21.3333333333333" style="4" customWidth="1"/>
    <col min="3" max="3" width="29.0648148148148" style="4" customWidth="1"/>
    <col min="4" max="4" width="26.7314814814815" style="4" customWidth="1"/>
    <col min="5" max="5" width="25.7962962962963" style="4" customWidth="1"/>
    <col min="6" max="6" width="12.9259259259259" style="4" customWidth="1"/>
    <col min="7" max="7" width="15.9259259259259" style="4" customWidth="1"/>
    <col min="8" max="8" width="20.6018518518519" style="4" customWidth="1"/>
    <col min="9" max="9" width="22.9259259259259" style="4" customWidth="1"/>
    <col min="10" max="10" width="23.6018518518519" style="4" customWidth="1"/>
    <col min="11" max="11" width="12.2037037037037" style="3" customWidth="1"/>
    <col min="12" max="16384" width="9" style="3"/>
  </cols>
  <sheetData>
    <row r="1" ht="37.5" customHeight="1" spans="2:11">
      <c r="B1" s="5" t="s">
        <v>0</v>
      </c>
      <c r="C1" s="5"/>
      <c r="D1" s="6" t="s">
        <v>1</v>
      </c>
      <c r="E1" s="6"/>
      <c r="F1" s="6"/>
      <c r="G1" s="6"/>
      <c r="H1" s="6"/>
      <c r="I1" s="7"/>
      <c r="J1" s="8" t="s">
        <v>2</v>
      </c>
    </row>
    <row r="2" ht="37.5" customHeight="1" spans="2:11">
      <c r="B2" s="9" t="s">
        <v>3</v>
      </c>
      <c r="C2" s="9"/>
      <c r="D2" s="6" t="s">
        <v>4</v>
      </c>
      <c r="E2" s="6"/>
      <c r="F2" s="6"/>
      <c r="G2" s="6"/>
      <c r="H2" s="6"/>
      <c r="I2" s="7"/>
      <c r="J2" s="8" t="s">
        <v>5</v>
      </c>
    </row>
    <row r="3" ht="30" customHeight="1" spans="2:11">
      <c r="B3" s="10" t="s">
        <v>6</v>
      </c>
      <c r="C3" s="10"/>
      <c r="D3" s="10"/>
      <c r="E3" s="10"/>
      <c r="F3" s="11" t="s">
        <v>7</v>
      </c>
      <c r="G3" s="11"/>
      <c r="H3" s="12" t="e">
        <f>IF(AND(#REF!="是",#REF!&lt;1,SUM(I15:I18)&gt;=10),ROUNDDOWN(SUM(I15:I18)/10,0),0)</f>
        <v>#REF!</v>
      </c>
      <c r="I3" s="13" t="s">
        <v>8</v>
      </c>
      <c r="J3" s="13"/>
    </row>
    <row r="4" ht="32.25" customHeight="1" spans="2:11">
      <c r="B4" s="14" t="s">
        <v>9</v>
      </c>
      <c r="C4" s="14"/>
      <c r="D4" s="14"/>
      <c r="E4" s="14"/>
      <c r="F4" s="15" t="s">
        <v>10</v>
      </c>
      <c r="G4" s="15"/>
      <c r="H4" s="12" t="e">
        <f>IF(#REF!&lt;1,ROUNDDOWN(SUM(I42:I46)/30,0),0)</f>
        <v>#REF!</v>
      </c>
      <c r="I4" s="13" t="s">
        <v>11</v>
      </c>
      <c r="J4" s="13"/>
    </row>
    <row r="5" ht="32.25" customHeight="1" spans="2:11">
      <c r="B5" s="16" t="s">
        <v>12</v>
      </c>
      <c r="C5" s="16"/>
      <c r="D5" s="16"/>
      <c r="E5" s="16"/>
      <c r="F5" s="15" t="s">
        <v>13</v>
      </c>
      <c r="G5" s="15"/>
      <c r="H5" s="12">
        <f>IF(SUM(I48:I51)&gt;=10,ROUNDDOWN(SUM(I48:I51)/3,0),0)</f>
        <v>0</v>
      </c>
      <c r="I5" s="13" t="s">
        <v>14</v>
      </c>
      <c r="J5" s="13"/>
    </row>
    <row r="6" ht="36" customHeight="1" spans="2:11">
      <c r="B6" s="17" t="s">
        <v>15</v>
      </c>
      <c r="C6" s="18"/>
      <c r="D6" s="18"/>
      <c r="E6" s="19"/>
      <c r="F6" s="20"/>
      <c r="G6" s="20"/>
      <c r="H6" s="21"/>
      <c r="I6" s="22"/>
      <c r="J6" s="23"/>
    </row>
    <row r="7" ht="24.75" customHeight="1" spans="2:11">
      <c r="B7" s="24" t="s">
        <v>16</v>
      </c>
      <c r="C7" s="24"/>
      <c r="D7" s="24"/>
      <c r="E7" s="24"/>
      <c r="F7" s="24"/>
      <c r="G7" s="24"/>
      <c r="H7" s="24"/>
      <c r="I7" s="24"/>
      <c r="J7" s="24"/>
    </row>
    <row r="8" ht="50.25" customHeight="1" spans="2:11">
      <c r="B8" s="25" t="s">
        <v>17</v>
      </c>
      <c r="C8" s="25"/>
      <c r="D8" s="25"/>
      <c r="E8" s="25"/>
      <c r="F8" s="25"/>
      <c r="G8" s="25"/>
      <c r="H8" s="25"/>
      <c r="I8" s="25"/>
      <c r="J8" s="25"/>
    </row>
    <row r="9" s="1" customFormat="1" ht="24.75" customHeight="1" spans="2:11">
      <c r="B9" s="26" t="s">
        <v>18</v>
      </c>
      <c r="C9" s="27" t="s">
        <v>19</v>
      </c>
      <c r="D9" s="27" t="s">
        <v>20</v>
      </c>
      <c r="E9" s="27" t="s">
        <v>21</v>
      </c>
      <c r="F9" s="28" t="s">
        <v>22</v>
      </c>
      <c r="G9" s="29"/>
      <c r="H9" s="27" t="s">
        <v>23</v>
      </c>
      <c r="I9" s="28" t="s">
        <v>24</v>
      </c>
      <c r="J9" s="29"/>
    </row>
    <row r="10" s="1" customFormat="1" ht="25.8" spans="2:11">
      <c r="B10" s="30"/>
      <c r="C10" s="31"/>
      <c r="D10" s="31"/>
      <c r="E10" s="32"/>
      <c r="F10" s="33" t="s">
        <v>25</v>
      </c>
      <c r="G10" s="34" t="s">
        <v>26</v>
      </c>
      <c r="H10" s="32"/>
      <c r="I10" s="35" t="s">
        <v>27</v>
      </c>
      <c r="J10" s="36" t="s">
        <v>28</v>
      </c>
    </row>
    <row r="11" s="2" customFormat="1" ht="23.25" customHeight="1" spans="2:11">
      <c r="B11" s="37" t="s">
        <v>29</v>
      </c>
      <c r="C11" s="38" t="s">
        <v>30</v>
      </c>
      <c r="D11" s="38" t="s">
        <v>31</v>
      </c>
      <c r="E11" s="38" t="s">
        <v>32</v>
      </c>
      <c r="F11" s="39">
        <v>1</v>
      </c>
      <c r="G11" s="40">
        <v>20</v>
      </c>
      <c r="H11" s="41" t="s">
        <v>33</v>
      </c>
      <c r="I11" s="42"/>
      <c r="J11" s="43">
        <f>I11*F11*G11</f>
        <v>0</v>
      </c>
      <c r="K11" s="44"/>
    </row>
    <row r="12" s="2" customFormat="1" ht="23.25" customHeight="1" spans="2:11">
      <c r="B12" s="45"/>
      <c r="C12" s="46"/>
      <c r="D12" s="46" t="s">
        <v>34</v>
      </c>
      <c r="E12" s="46" t="s">
        <v>35</v>
      </c>
      <c r="F12" s="47">
        <v>1</v>
      </c>
      <c r="G12" s="48">
        <v>20</v>
      </c>
      <c r="H12" s="49" t="s">
        <v>36</v>
      </c>
      <c r="I12" s="50"/>
      <c r="J12" s="51">
        <f t="shared" ref="J12:J51" si="0">I12*F12*G12</f>
        <v>0</v>
      </c>
      <c r="K12" s="44"/>
    </row>
    <row r="13" s="2" customFormat="1" ht="23.25" customHeight="1" spans="2:11">
      <c r="B13" s="45"/>
      <c r="C13" s="52"/>
      <c r="D13" s="46" t="s">
        <v>37</v>
      </c>
      <c r="E13" s="46" t="s">
        <v>38</v>
      </c>
      <c r="F13" s="47">
        <v>1</v>
      </c>
      <c r="G13" s="48">
        <v>20</v>
      </c>
      <c r="H13" s="49" t="s">
        <v>39</v>
      </c>
      <c r="I13" s="50"/>
      <c r="J13" s="51">
        <f t="shared" si="0"/>
        <v>0</v>
      </c>
      <c r="K13" s="44"/>
    </row>
    <row r="14" s="2" customFormat="1" ht="23.25" customHeight="1" spans="2:11">
      <c r="B14" s="45"/>
      <c r="C14" s="52"/>
      <c r="D14" s="53" t="s">
        <v>40</v>
      </c>
      <c r="E14" s="53" t="s">
        <v>41</v>
      </c>
      <c r="F14" s="54">
        <v>1</v>
      </c>
      <c r="G14" s="55">
        <v>20</v>
      </c>
      <c r="H14" s="56" t="s">
        <v>42</v>
      </c>
      <c r="I14" s="57"/>
      <c r="J14" s="58">
        <f t="shared" si="0"/>
        <v>0</v>
      </c>
      <c r="K14" s="44"/>
    </row>
    <row r="15" s="2" customFormat="1" ht="23.25" customHeight="1" spans="2:11">
      <c r="B15" s="45"/>
      <c r="C15" s="59" t="s">
        <v>43</v>
      </c>
      <c r="D15" s="59" t="s">
        <v>44</v>
      </c>
      <c r="E15" s="59" t="s">
        <v>45</v>
      </c>
      <c r="F15" s="39">
        <v>1</v>
      </c>
      <c r="G15" s="40">
        <v>20</v>
      </c>
      <c r="H15" s="60" t="s">
        <v>46</v>
      </c>
      <c r="I15" s="61"/>
      <c r="J15" s="62">
        <f t="shared" si="0"/>
        <v>0</v>
      </c>
      <c r="K15" s="44"/>
    </row>
    <row r="16" s="2" customFormat="1" ht="49.2" spans="2:11">
      <c r="B16" s="45"/>
      <c r="C16" s="63"/>
      <c r="D16" s="46" t="s">
        <v>47</v>
      </c>
      <c r="E16" s="46" t="s">
        <v>48</v>
      </c>
      <c r="F16" s="47">
        <v>1</v>
      </c>
      <c r="G16" s="48">
        <v>20</v>
      </c>
      <c r="H16" s="64" t="s">
        <v>49</v>
      </c>
      <c r="I16" s="65"/>
      <c r="J16" s="66">
        <f t="shared" si="0"/>
        <v>0</v>
      </c>
      <c r="K16" s="44"/>
    </row>
    <row r="17" s="2" customFormat="1" ht="23.25" customHeight="1" spans="2:11">
      <c r="B17" s="45"/>
      <c r="C17" s="63"/>
      <c r="D17" s="46" t="s">
        <v>50</v>
      </c>
      <c r="E17" s="46" t="s">
        <v>38</v>
      </c>
      <c r="F17" s="47">
        <v>1</v>
      </c>
      <c r="G17" s="48">
        <v>20</v>
      </c>
      <c r="H17" s="64" t="s">
        <v>51</v>
      </c>
      <c r="I17" s="65"/>
      <c r="J17" s="66">
        <f t="shared" si="0"/>
        <v>0</v>
      </c>
      <c r="K17" s="44"/>
    </row>
    <row r="18" s="2" customFormat="1" ht="23.25" customHeight="1" spans="2:11">
      <c r="B18" s="45"/>
      <c r="C18" s="67"/>
      <c r="D18" s="53" t="s">
        <v>50</v>
      </c>
      <c r="E18" s="53" t="s">
        <v>41</v>
      </c>
      <c r="F18" s="54">
        <v>1</v>
      </c>
      <c r="G18" s="55">
        <v>20</v>
      </c>
      <c r="H18" s="68" t="s">
        <v>52</v>
      </c>
      <c r="I18" s="69"/>
      <c r="J18" s="70">
        <f t="shared" si="0"/>
        <v>0</v>
      </c>
      <c r="K18" s="44"/>
    </row>
    <row r="19" s="2" customFormat="1" ht="23.25" customHeight="1" spans="2:11">
      <c r="B19" s="45"/>
      <c r="C19" s="63" t="s">
        <v>53</v>
      </c>
      <c r="D19" s="63" t="s">
        <v>54</v>
      </c>
      <c r="E19" s="63" t="s">
        <v>55</v>
      </c>
      <c r="F19" s="71">
        <v>1</v>
      </c>
      <c r="G19" s="72">
        <v>20</v>
      </c>
      <c r="H19" s="73" t="s">
        <v>56</v>
      </c>
      <c r="I19" s="74"/>
      <c r="J19" s="75">
        <f t="shared" si="0"/>
        <v>0</v>
      </c>
      <c r="K19" s="44"/>
    </row>
    <row r="20" s="2" customFormat="1" ht="23.25" customHeight="1" spans="2:11">
      <c r="B20" s="45"/>
      <c r="C20" s="63"/>
      <c r="D20" s="52" t="s">
        <v>57</v>
      </c>
      <c r="E20" s="46" t="s">
        <v>48</v>
      </c>
      <c r="F20" s="47">
        <v>1</v>
      </c>
      <c r="G20" s="48">
        <v>20</v>
      </c>
      <c r="H20" s="76" t="s">
        <v>58</v>
      </c>
      <c r="I20" s="50"/>
      <c r="J20" s="51">
        <f t="shared" si="0"/>
        <v>0</v>
      </c>
      <c r="K20" s="44"/>
    </row>
    <row r="21" s="2" customFormat="1" ht="23.25" customHeight="1" spans="2:11">
      <c r="B21" s="45"/>
      <c r="C21" s="63"/>
      <c r="D21" s="77"/>
      <c r="E21" s="46"/>
      <c r="F21" s="47">
        <v>4</v>
      </c>
      <c r="G21" s="48">
        <v>6</v>
      </c>
      <c r="H21" s="76" t="s">
        <v>59</v>
      </c>
      <c r="I21" s="50"/>
      <c r="J21" s="51">
        <f t="shared" si="0"/>
        <v>0</v>
      </c>
      <c r="K21" s="44"/>
    </row>
    <row r="22" s="2" customFormat="1" ht="23.25" customHeight="1" spans="2:11">
      <c r="B22" s="45"/>
      <c r="C22" s="63"/>
      <c r="D22" s="46" t="s">
        <v>60</v>
      </c>
      <c r="E22" s="46" t="s">
        <v>45</v>
      </c>
      <c r="F22" s="47">
        <v>1</v>
      </c>
      <c r="G22" s="48">
        <v>20</v>
      </c>
      <c r="H22" s="76" t="s">
        <v>61</v>
      </c>
      <c r="I22" s="50">
        <v>10</v>
      </c>
      <c r="J22" s="51">
        <f t="shared" si="0"/>
        <v>200</v>
      </c>
      <c r="K22" s="44"/>
    </row>
    <row r="23" s="2" customFormat="1" ht="23.25" customHeight="1" spans="2:11">
      <c r="B23" s="45"/>
      <c r="C23" s="63"/>
      <c r="D23" s="46"/>
      <c r="E23" s="46"/>
      <c r="F23" s="47">
        <v>4</v>
      </c>
      <c r="G23" s="48">
        <v>6</v>
      </c>
      <c r="H23" s="76" t="s">
        <v>62</v>
      </c>
      <c r="I23" s="50"/>
      <c r="J23" s="51">
        <f t="shared" si="0"/>
        <v>0</v>
      </c>
      <c r="K23" s="44"/>
    </row>
    <row r="24" s="2" customFormat="1" ht="23.25" customHeight="1" spans="2:11">
      <c r="B24" s="45"/>
      <c r="C24" s="63"/>
      <c r="D24" s="46" t="s">
        <v>63</v>
      </c>
      <c r="E24" s="46" t="s">
        <v>38</v>
      </c>
      <c r="F24" s="47">
        <v>1</v>
      </c>
      <c r="G24" s="48">
        <v>20</v>
      </c>
      <c r="H24" s="76" t="s">
        <v>64</v>
      </c>
      <c r="I24" s="50"/>
      <c r="J24" s="51">
        <f t="shared" si="0"/>
        <v>0</v>
      </c>
      <c r="K24" s="44"/>
    </row>
    <row r="25" s="2" customFormat="1" ht="23" customHeight="1" spans="2:11">
      <c r="B25" s="45"/>
      <c r="C25" s="63"/>
      <c r="D25" s="46"/>
      <c r="E25" s="46"/>
      <c r="F25" s="47">
        <v>4</v>
      </c>
      <c r="G25" s="48">
        <v>6</v>
      </c>
      <c r="H25" s="76" t="s">
        <v>65</v>
      </c>
      <c r="I25" s="50"/>
      <c r="J25" s="51">
        <f t="shared" si="0"/>
        <v>0</v>
      </c>
      <c r="K25" s="44"/>
    </row>
    <row r="26" s="2" customFormat="1" ht="23.25" customHeight="1" spans="2:11">
      <c r="B26" s="45"/>
      <c r="C26" s="63"/>
      <c r="D26" s="52" t="s">
        <v>63</v>
      </c>
      <c r="E26" s="46" t="s">
        <v>41</v>
      </c>
      <c r="F26" s="47">
        <v>1</v>
      </c>
      <c r="G26" s="48">
        <v>20</v>
      </c>
      <c r="H26" s="76" t="s">
        <v>66</v>
      </c>
      <c r="I26" s="50"/>
      <c r="J26" s="51">
        <f t="shared" si="0"/>
        <v>0</v>
      </c>
      <c r="K26" s="44"/>
    </row>
    <row r="27" s="2" customFormat="1" ht="23.25" customHeight="1" spans="2:11">
      <c r="B27" s="45"/>
      <c r="C27" s="67"/>
      <c r="D27" s="67"/>
      <c r="E27" s="53"/>
      <c r="F27" s="54">
        <v>4</v>
      </c>
      <c r="G27" s="55">
        <v>6</v>
      </c>
      <c r="H27" s="78" t="s">
        <v>67</v>
      </c>
      <c r="I27" s="57"/>
      <c r="J27" s="58">
        <f t="shared" si="0"/>
        <v>0</v>
      </c>
      <c r="K27" s="44"/>
    </row>
    <row r="28" s="2" customFormat="1" ht="23.25" customHeight="1" spans="2:11">
      <c r="B28" s="45"/>
      <c r="C28" s="59" t="s">
        <v>68</v>
      </c>
      <c r="D28" s="38" t="s">
        <v>44</v>
      </c>
      <c r="E28" s="38" t="s">
        <v>45</v>
      </c>
      <c r="F28" s="39">
        <v>1</v>
      </c>
      <c r="G28" s="40">
        <v>20</v>
      </c>
      <c r="H28" s="79" t="s">
        <v>69</v>
      </c>
      <c r="I28" s="42"/>
      <c r="J28" s="43">
        <f t="shared" si="0"/>
        <v>0</v>
      </c>
      <c r="K28" s="44"/>
    </row>
    <row r="29" s="2" customFormat="1" ht="23.25" customHeight="1" spans="2:11">
      <c r="B29" s="45"/>
      <c r="C29" s="63"/>
      <c r="D29" s="46"/>
      <c r="E29" s="46"/>
      <c r="F29" s="47">
        <v>4</v>
      </c>
      <c r="G29" s="48">
        <v>6</v>
      </c>
      <c r="H29" s="76" t="s">
        <v>70</v>
      </c>
      <c r="I29" s="50"/>
      <c r="J29" s="51">
        <f t="shared" si="0"/>
        <v>0</v>
      </c>
      <c r="K29" s="44"/>
    </row>
    <row r="30" s="2" customFormat="1" ht="23.25" customHeight="1" spans="2:11">
      <c r="B30" s="45"/>
      <c r="C30" s="63"/>
      <c r="D30" s="80" t="s">
        <v>71</v>
      </c>
      <c r="E30" s="46" t="s">
        <v>38</v>
      </c>
      <c r="F30" s="47">
        <v>1</v>
      </c>
      <c r="G30" s="48">
        <v>20</v>
      </c>
      <c r="H30" s="76" t="s">
        <v>72</v>
      </c>
      <c r="I30" s="50"/>
      <c r="J30" s="51">
        <f t="shared" si="0"/>
        <v>0</v>
      </c>
      <c r="K30" s="44"/>
    </row>
    <row r="31" s="2" customFormat="1" ht="23.25" customHeight="1" spans="2:11">
      <c r="B31" s="45"/>
      <c r="C31" s="63"/>
      <c r="D31" s="81"/>
      <c r="E31" s="52"/>
      <c r="F31" s="82">
        <v>4</v>
      </c>
      <c r="G31" s="83">
        <v>6</v>
      </c>
      <c r="H31" s="84" t="s">
        <v>73</v>
      </c>
      <c r="I31" s="85"/>
      <c r="J31" s="86">
        <f t="shared" si="0"/>
        <v>0</v>
      </c>
      <c r="K31" s="44"/>
    </row>
    <row r="32" s="2" customFormat="1" ht="23.25" customHeight="1" spans="2:11">
      <c r="B32" s="45"/>
      <c r="C32" s="59" t="s">
        <v>74</v>
      </c>
      <c r="D32" s="38" t="s">
        <v>75</v>
      </c>
      <c r="E32" s="38" t="s">
        <v>45</v>
      </c>
      <c r="F32" s="39">
        <v>1</v>
      </c>
      <c r="G32" s="40">
        <v>20</v>
      </c>
      <c r="H32" s="79" t="s">
        <v>76</v>
      </c>
      <c r="I32" s="42">
        <v>5</v>
      </c>
      <c r="J32" s="43">
        <f t="shared" si="0"/>
        <v>100</v>
      </c>
      <c r="K32" s="44"/>
    </row>
    <row r="33" s="2" customFormat="1" ht="23.25" customHeight="1" spans="2:11">
      <c r="B33" s="45"/>
      <c r="C33" s="63"/>
      <c r="D33" s="46"/>
      <c r="E33" s="46"/>
      <c r="F33" s="47">
        <v>4</v>
      </c>
      <c r="G33" s="48">
        <v>6</v>
      </c>
      <c r="H33" s="76" t="s">
        <v>77</v>
      </c>
      <c r="I33" s="50">
        <v>10</v>
      </c>
      <c r="J33" s="51">
        <f t="shared" si="0"/>
        <v>240</v>
      </c>
      <c r="K33" s="44"/>
    </row>
    <row r="34" s="2" customFormat="1" ht="23.25" customHeight="1" spans="2:11">
      <c r="B34" s="45"/>
      <c r="C34" s="63"/>
      <c r="D34" s="52" t="s">
        <v>44</v>
      </c>
      <c r="E34" s="46" t="s">
        <v>38</v>
      </c>
      <c r="F34" s="47">
        <v>1</v>
      </c>
      <c r="G34" s="48">
        <v>20</v>
      </c>
      <c r="H34" s="76" t="s">
        <v>78</v>
      </c>
      <c r="I34" s="50"/>
      <c r="J34" s="51">
        <f t="shared" ref="J34:J35" si="1">I34*F34*G34</f>
        <v>0</v>
      </c>
      <c r="K34" s="44"/>
    </row>
    <row r="35" s="2" customFormat="1" ht="23.25" customHeight="1" spans="2:11">
      <c r="B35" s="45"/>
      <c r="C35" s="63"/>
      <c r="D35" s="77"/>
      <c r="E35" s="46"/>
      <c r="F35" s="47">
        <v>4</v>
      </c>
      <c r="G35" s="48">
        <v>6</v>
      </c>
      <c r="H35" s="76" t="s">
        <v>79</v>
      </c>
      <c r="I35" s="50"/>
      <c r="J35" s="51">
        <f t="shared" si="1"/>
        <v>0</v>
      </c>
      <c r="K35" s="44"/>
    </row>
    <row r="36" s="2" customFormat="1" ht="23.25" customHeight="1" spans="2:11">
      <c r="B36" s="45"/>
      <c r="C36" s="63"/>
      <c r="D36" s="87" t="s">
        <v>80</v>
      </c>
      <c r="E36" s="46" t="s">
        <v>41</v>
      </c>
      <c r="F36" s="47">
        <v>1</v>
      </c>
      <c r="G36" s="48">
        <v>20</v>
      </c>
      <c r="H36" s="76" t="s">
        <v>81</v>
      </c>
      <c r="I36" s="50">
        <v>10</v>
      </c>
      <c r="J36" s="51">
        <f t="shared" si="0"/>
        <v>200</v>
      </c>
      <c r="K36" s="44"/>
    </row>
    <row r="37" s="2" customFormat="1" ht="23.25" customHeight="1" spans="2:11">
      <c r="B37" s="45"/>
      <c r="C37" s="67"/>
      <c r="D37" s="88"/>
      <c r="E37" s="53"/>
      <c r="F37" s="54">
        <v>4</v>
      </c>
      <c r="G37" s="55">
        <v>6</v>
      </c>
      <c r="H37" s="78" t="s">
        <v>82</v>
      </c>
      <c r="I37" s="57"/>
      <c r="J37" s="58">
        <f t="shared" si="0"/>
        <v>0</v>
      </c>
      <c r="K37" s="44"/>
    </row>
    <row r="38" s="2" customFormat="1" ht="23.25" customHeight="1" spans="2:11">
      <c r="B38" s="45"/>
      <c r="C38" s="38" t="s">
        <v>83</v>
      </c>
      <c r="D38" s="59" t="s">
        <v>75</v>
      </c>
      <c r="E38" s="38" t="s">
        <v>38</v>
      </c>
      <c r="F38" s="39">
        <v>1</v>
      </c>
      <c r="G38" s="40">
        <v>20</v>
      </c>
      <c r="H38" s="79" t="s">
        <v>84</v>
      </c>
      <c r="I38" s="42"/>
      <c r="J38" s="43">
        <f t="shared" si="0"/>
        <v>0</v>
      </c>
      <c r="K38" s="44"/>
    </row>
    <row r="39" s="2" customFormat="1" ht="23.25" customHeight="1" spans="2:11">
      <c r="B39" s="45"/>
      <c r="C39" s="46"/>
      <c r="D39" s="77"/>
      <c r="E39" s="46"/>
      <c r="F39" s="47">
        <v>4</v>
      </c>
      <c r="G39" s="48">
        <v>6</v>
      </c>
      <c r="H39" s="76" t="s">
        <v>85</v>
      </c>
      <c r="I39" s="50"/>
      <c r="J39" s="51">
        <f t="shared" si="0"/>
        <v>0</v>
      </c>
      <c r="K39" s="44"/>
    </row>
    <row r="40" s="2" customFormat="1" ht="23.25" customHeight="1" spans="2:11">
      <c r="B40" s="45"/>
      <c r="C40" s="46"/>
      <c r="D40" s="52" t="s">
        <v>86</v>
      </c>
      <c r="E40" s="46" t="s">
        <v>41</v>
      </c>
      <c r="F40" s="47">
        <v>1</v>
      </c>
      <c r="G40" s="48">
        <v>20</v>
      </c>
      <c r="H40" s="76" t="s">
        <v>87</v>
      </c>
      <c r="I40" s="50"/>
      <c r="J40" s="51">
        <f t="shared" si="0"/>
        <v>0</v>
      </c>
      <c r="K40" s="44"/>
    </row>
    <row r="41" s="2" customFormat="1" ht="23.25" customHeight="1" spans="2:11">
      <c r="B41" s="45"/>
      <c r="C41" s="53"/>
      <c r="D41" s="67"/>
      <c r="E41" s="53"/>
      <c r="F41" s="54">
        <v>4</v>
      </c>
      <c r="G41" s="55">
        <v>6</v>
      </c>
      <c r="H41" s="78" t="s">
        <v>88</v>
      </c>
      <c r="I41" s="57">
        <v>5</v>
      </c>
      <c r="J41" s="58">
        <f t="shared" si="0"/>
        <v>120</v>
      </c>
      <c r="K41" s="44"/>
    </row>
    <row r="42" s="2" customFormat="1" ht="23" customHeight="1" spans="2:11">
      <c r="B42" s="37" t="s">
        <v>89</v>
      </c>
      <c r="C42" s="89" t="s">
        <v>90</v>
      </c>
      <c r="D42" s="90"/>
      <c r="E42" s="38" t="s">
        <v>91</v>
      </c>
      <c r="F42" s="39">
        <v>1</v>
      </c>
      <c r="G42" s="40">
        <v>20</v>
      </c>
      <c r="H42" s="79" t="s">
        <v>92</v>
      </c>
      <c r="I42" s="42"/>
      <c r="J42" s="43">
        <f t="shared" si="0"/>
        <v>0</v>
      </c>
      <c r="K42" s="44"/>
    </row>
    <row r="43" s="2" customFormat="1" ht="23.25" customHeight="1" spans="2:11">
      <c r="B43" s="45"/>
      <c r="C43" s="87" t="s">
        <v>93</v>
      </c>
      <c r="D43" s="91"/>
      <c r="E43" s="46"/>
      <c r="F43" s="47">
        <v>1</v>
      </c>
      <c r="G43" s="48">
        <v>20</v>
      </c>
      <c r="H43" s="76" t="s">
        <v>94</v>
      </c>
      <c r="I43" s="50">
        <v>10</v>
      </c>
      <c r="J43" s="51">
        <f t="shared" si="0"/>
        <v>200</v>
      </c>
      <c r="K43" s="44"/>
    </row>
    <row r="44" s="2" customFormat="1" ht="23.25" customHeight="1" spans="2:11">
      <c r="B44" s="45"/>
      <c r="C44" s="88" t="s">
        <v>95</v>
      </c>
      <c r="D44" s="92"/>
      <c r="E44" s="53"/>
      <c r="F44" s="54">
        <v>1</v>
      </c>
      <c r="G44" s="55">
        <v>20</v>
      </c>
      <c r="H44" s="78" t="s">
        <v>96</v>
      </c>
      <c r="I44" s="57"/>
      <c r="J44" s="58">
        <f t="shared" si="0"/>
        <v>0</v>
      </c>
      <c r="K44" s="44"/>
    </row>
    <row r="45" s="2" customFormat="1" ht="23.25" customHeight="1" spans="2:11">
      <c r="B45" s="93" t="s">
        <v>97</v>
      </c>
      <c r="C45" s="94"/>
      <c r="D45" s="95" t="s">
        <v>98</v>
      </c>
      <c r="E45" s="96" t="s">
        <v>91</v>
      </c>
      <c r="F45" s="97">
        <v>1</v>
      </c>
      <c r="G45" s="98">
        <v>20</v>
      </c>
      <c r="H45" s="99" t="s">
        <v>99</v>
      </c>
      <c r="I45" s="42"/>
      <c r="J45" s="43">
        <f t="shared" si="0"/>
        <v>0</v>
      </c>
      <c r="K45" s="44"/>
    </row>
    <row r="46" s="2" customFormat="1" ht="23.25" customHeight="1" spans="2:11">
      <c r="B46" s="100" t="s">
        <v>100</v>
      </c>
      <c r="C46" s="101"/>
      <c r="D46" s="102" t="s">
        <v>101</v>
      </c>
      <c r="E46" s="103"/>
      <c r="F46" s="104">
        <v>1</v>
      </c>
      <c r="G46" s="105">
        <v>20</v>
      </c>
      <c r="H46" s="106" t="s">
        <v>102</v>
      </c>
      <c r="I46" s="107"/>
      <c r="J46" s="108">
        <f t="shared" si="0"/>
        <v>0</v>
      </c>
      <c r="K46" s="44"/>
    </row>
    <row r="47" s="2" customFormat="1" ht="23.25" customHeight="1" spans="2:11">
      <c r="B47" s="109" t="s">
        <v>103</v>
      </c>
      <c r="C47" s="110"/>
      <c r="D47" s="96" t="s">
        <v>104</v>
      </c>
      <c r="E47" s="95" t="s">
        <v>105</v>
      </c>
      <c r="F47" s="97">
        <v>1</v>
      </c>
      <c r="G47" s="98">
        <v>20</v>
      </c>
      <c r="H47" s="99" t="s">
        <v>106</v>
      </c>
      <c r="I47" s="42"/>
      <c r="J47" s="43">
        <f t="shared" si="0"/>
        <v>0</v>
      </c>
      <c r="K47" s="44"/>
    </row>
    <row r="48" s="2" customFormat="1" ht="24" customHeight="1" spans="2:11">
      <c r="B48" s="111" t="s">
        <v>107</v>
      </c>
      <c r="C48" s="112"/>
      <c r="D48" s="139" t="s">
        <v>108</v>
      </c>
      <c r="E48" s="114"/>
      <c r="F48" s="115">
        <v>0.18</v>
      </c>
      <c r="G48" s="98">
        <v>20</v>
      </c>
      <c r="H48" s="99" t="s">
        <v>109</v>
      </c>
      <c r="I48" s="42"/>
      <c r="J48" s="116">
        <f t="shared" si="0"/>
        <v>0</v>
      </c>
      <c r="K48" s="44"/>
    </row>
    <row r="49" s="2" customFormat="1" ht="24" customHeight="1" spans="2:11">
      <c r="B49" s="117" t="s">
        <v>110</v>
      </c>
      <c r="C49" s="118"/>
      <c r="D49" s="140" t="s">
        <v>111</v>
      </c>
      <c r="E49" s="120"/>
      <c r="F49" s="121">
        <v>0.2</v>
      </c>
      <c r="G49" s="122">
        <v>20</v>
      </c>
      <c r="H49" s="123" t="s">
        <v>112</v>
      </c>
      <c r="I49" s="50"/>
      <c r="J49" s="124">
        <f t="shared" si="0"/>
        <v>0</v>
      </c>
      <c r="K49" s="44"/>
    </row>
    <row r="50" s="2" customFormat="1" ht="24" customHeight="1" spans="2:11">
      <c r="B50" s="117" t="s">
        <v>113</v>
      </c>
      <c r="C50" s="118"/>
      <c r="D50" s="140" t="s">
        <v>114</v>
      </c>
      <c r="E50" s="120"/>
      <c r="F50" s="121">
        <v>0.17</v>
      </c>
      <c r="G50" s="122">
        <v>50</v>
      </c>
      <c r="H50" s="123" t="s">
        <v>115</v>
      </c>
      <c r="I50" s="50"/>
      <c r="J50" s="124">
        <f t="shared" ref="J50" si="2">I50*F50*G50</f>
        <v>0</v>
      </c>
      <c r="K50" s="44"/>
    </row>
    <row r="51" s="2" customFormat="1" ht="24" customHeight="1" spans="2:11">
      <c r="B51" s="125" t="s">
        <v>116</v>
      </c>
      <c r="C51" s="126"/>
      <c r="D51" s="141" t="s">
        <v>117</v>
      </c>
      <c r="E51" s="128"/>
      <c r="F51" s="129">
        <v>0.3</v>
      </c>
      <c r="G51" s="130">
        <v>20</v>
      </c>
      <c r="H51" s="131" t="s">
        <v>118</v>
      </c>
      <c r="I51" s="57"/>
      <c r="J51" s="132">
        <f t="shared" si="0"/>
        <v>0</v>
      </c>
      <c r="K51" s="44"/>
    </row>
    <row r="52" ht="23.25" customHeight="1" spans="2:11">
      <c r="B52" s="133" t="s">
        <v>119</v>
      </c>
      <c r="C52" s="134"/>
      <c r="D52" s="134"/>
      <c r="E52" s="134"/>
      <c r="F52" s="134"/>
      <c r="G52" s="134"/>
      <c r="H52" s="135"/>
      <c r="I52" s="136">
        <f>SUM(I11:I51)</f>
        <v>50</v>
      </c>
      <c r="J52" s="137">
        <f>SUM(J11:J51)</f>
        <v>1060</v>
      </c>
    </row>
    <row r="53" ht="21.75" spans="2:11">
      <c r="B53" s="138"/>
      <c r="C53" s="138"/>
      <c r="D53" s="138"/>
      <c r="E53" s="138"/>
      <c r="F53" s="138"/>
      <c r="G53" s="138"/>
      <c r="H53" s="138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xmlns:etc="http://www.wps.cn/officeDocument/2017/etCustomData" ref="A10:J52" etc:filterBottomFollowUsedRange="0">
    <extLst/>
  </autoFilter>
  <mergeCells count="69">
    <mergeCell ref="B1:C1"/>
    <mergeCell ref="D1:H1"/>
    <mergeCell ref="B2:C2"/>
    <mergeCell ref="D2:H2"/>
    <mergeCell ref="B3:E3"/>
    <mergeCell ref="F3:G3"/>
    <mergeCell ref="I3:J3"/>
    <mergeCell ref="B4:E4"/>
    <mergeCell ref="F4:G4"/>
    <mergeCell ref="I4:J4"/>
    <mergeCell ref="B5:E5"/>
    <mergeCell ref="F5:G5"/>
    <mergeCell ref="I5:J5"/>
    <mergeCell ref="B7:J7"/>
    <mergeCell ref="B8:J8"/>
    <mergeCell ref="F9:G9"/>
    <mergeCell ref="I9:J9"/>
    <mergeCell ref="C42:D42"/>
    <mergeCell ref="C43:D43"/>
    <mergeCell ref="C44:D44"/>
    <mergeCell ref="B45:C45"/>
    <mergeCell ref="B46:C46"/>
    <mergeCell ref="B47:C47"/>
    <mergeCell ref="B48:C48"/>
    <mergeCell ref="D48:E48"/>
    <mergeCell ref="B49:C49"/>
    <mergeCell ref="D49:E49"/>
    <mergeCell ref="B50:C50"/>
    <mergeCell ref="D50:E50"/>
    <mergeCell ref="B51:C51"/>
    <mergeCell ref="D51:E51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4"/>
    <mergeCell ref="E45:E46"/>
    <mergeCell ref="H9:H10"/>
  </mergeCells>
  <printOptions horizontalCentered="1"/>
  <pageMargins left="0" right="0" top="1.18110236220472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送货地址" rangeCreator="" othersAccessPermission="edit"/>
    <arrUserId title="订货方" rangeCreator="" othersAccessPermission="edit"/>
    <arrUserId title="订购数量" rangeCreator="" othersAccessPermission="edit"/>
  </rangeList>
</allowEditUser>
</file>

<file path=customXml/item2.xml>��
</file>

<file path=customXml/item3.xml>���ech�e�^�ech0qQ�N�[a�qQ�N�[a���~�Oo`�V�Ph���Q�[{|�Wh��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A286C5F-A665-448C-8838-A612E3224CDE}">
  <ds:schemaRefs/>
</ds:datastoreItem>
</file>

<file path=customXml/itemProps3.xml><?xml version="1.0" encoding="utf-8"?>
<ds:datastoreItem xmlns:ds="http://schemas.openxmlformats.org/officeDocument/2006/customXml" ds:itemID="{BD11C263-042B-4FE5-9517-E9B7A92CADBB}">
  <ds:schemaRefs/>
</ds:datastoreItem>
</file>

<file path=customXml/itemProps4.xml><?xml version="1.0" encoding="utf-8"?>
<ds:datastoreItem xmlns:ds="http://schemas.openxmlformats.org/officeDocument/2006/customXml" ds:itemID="{F8C7096F-3F4A-4FB5-A0E9-1F625BB3C3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促销订单（3%折扣单）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王仪兴</cp:lastModifiedBy>
  <dcterms:created xsi:type="dcterms:W3CDTF">2015-09-11T00:34:00Z</dcterms:created>
  <cp:lastPrinted>2026-01-06T09:06:00Z</cp:lastPrinted>
  <dcterms:modified xsi:type="dcterms:W3CDTF">2026-08-07T10:46:52Z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